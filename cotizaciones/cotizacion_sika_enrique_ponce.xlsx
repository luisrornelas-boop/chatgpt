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tizac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4" authorId="0">
      <text>
        <r>
          <rPr>
            <sz val="10"/>
            <rFont val="Arial"/>
            <family val="2"/>
          </rPr>
          <t xml:space="preserve">Cifra escrita bajo '= 745'. No cuadra con cantidades x precio; verificar a qué corresponde.</t>
        </r>
      </text>
    </comment>
    <comment ref="C7" authorId="0">
      <text>
        <r>
          <rPr>
            <sz val="10"/>
            <rFont val="Arial"/>
            <family val="2"/>
          </rPr>
          <t xml:space="preserve">Nota: 'Emulsika + Primer = 230'</t>
        </r>
      </text>
    </comment>
    <comment ref="C8" authorId="0">
      <text>
        <r>
          <rPr>
            <sz val="10"/>
            <rFont val="Arial"/>
            <family val="2"/>
          </rPr>
          <t xml:space="preserve">Nota: 'Sikalastik 560 = 745'</t>
        </r>
      </text>
    </comment>
    <comment ref="E7" authorId="0">
      <text>
        <r>
          <rPr>
            <sz val="10"/>
            <rFont val="Arial"/>
            <family val="2"/>
          </rPr>
          <t xml:space="preserve">Nota: 42% → $740 c/u (cubetas)</t>
        </r>
      </text>
    </comment>
    <comment ref="E8" authorId="0">
      <text>
        <r>
          <rPr>
            <sz val="10"/>
            <rFont val="Arial"/>
            <family val="2"/>
          </rPr>
          <t xml:space="preserve">Nota: 45% → $2,782 c/u; tarima de 48</t>
        </r>
      </text>
    </comment>
  </commentList>
</comments>
</file>

<file path=xl/sharedStrings.xml><?xml version="1.0" encoding="utf-8"?>
<sst xmlns="http://schemas.openxmlformats.org/spreadsheetml/2006/main" count="24" uniqueCount="22">
  <si>
    <t xml:space="preserve">Cotización Sika — Enrique Ponce (Tel. 656 213 8276)</t>
  </si>
  <si>
    <t xml:space="preserve">Nota: objetivo = MEJORAR PRECIO. Celdas en azul con fondo amarillo son editables.</t>
  </si>
  <si>
    <t xml:space="preserve">IVA</t>
  </si>
  <si>
    <t xml:space="preserve">Producto</t>
  </si>
  <si>
    <t xml:space="preserve">Presentación</t>
  </si>
  <si>
    <t xml:space="preserve">Cantidad</t>
  </si>
  <si>
    <t xml:space="preserve">Precio lista</t>
  </si>
  <si>
    <t xml:space="preserve">Descuento</t>
  </si>
  <si>
    <t xml:space="preserve">Precio neto c/u</t>
  </si>
  <si>
    <t xml:space="preserve">Subtotal lista</t>
  </si>
  <si>
    <t xml:space="preserve">Ahorro</t>
  </si>
  <si>
    <t xml:space="preserve">Subtotal neto</t>
  </si>
  <si>
    <t xml:space="preserve">Pzas x tarima</t>
  </si>
  <si>
    <t xml:space="preserve">Tarimas</t>
  </si>
  <si>
    <t xml:space="preserve">Emulsika + Primer</t>
  </si>
  <si>
    <t xml:space="preserve">Cubeta</t>
  </si>
  <si>
    <t xml:space="preserve">Sikalastic 560</t>
  </si>
  <si>
    <t xml:space="preserve">Subtotal</t>
  </si>
  <si>
    <t xml:space="preserve">Total</t>
  </si>
  <si>
    <t xml:space="preserve">Monto anotado en la nota</t>
  </si>
  <si>
    <t xml:space="preserve">Diferencia vs. Total cotizado</t>
  </si>
  <si>
    <t xml:space="preserve">Descuento promedio ponderado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</si>
</sst>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\$#,##0.00;&quot;($&quot;#,##0.00\);\-"/>
    <numFmt numFmtId="167" formatCode="0.0"/>
    <numFmt numFmtId="168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0" min="10" style="0" width="11"/>
    <col collapsed="false" customWidth="true" hidden="false" outlineLevel="0" max="11" min="11" style="0" width="9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false" outlineLevel="0" collapsed="false">
      <c r="A4" s="2" t="s">
        <v>2</v>
      </c>
      <c r="B4" s="4" t="n">
        <v>0.16</v>
      </c>
      <c r="C4" s="2"/>
      <c r="D4" s="2"/>
      <c r="E4" s="2"/>
      <c r="F4" s="2"/>
      <c r="G4" s="2"/>
      <c r="H4" s="2"/>
      <c r="I4" s="2"/>
      <c r="J4" s="2"/>
      <c r="K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customFormat="false" ht="31.5" hidden="false" customHeight="true" outlineLevel="0" collapsed="false">
      <c r="A6" s="5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  <c r="J6" s="5" t="s">
        <v>12</v>
      </c>
      <c r="K6" s="5" t="s">
        <v>13</v>
      </c>
    </row>
    <row r="7" customFormat="false" ht="15" hidden="false" customHeight="false" outlineLevel="0" collapsed="false">
      <c r="A7" s="6" t="s">
        <v>14</v>
      </c>
      <c r="B7" s="6" t="s">
        <v>15</v>
      </c>
      <c r="C7" s="7" t="n">
        <v>230</v>
      </c>
      <c r="D7" s="8" t="n">
        <v>1276.06</v>
      </c>
      <c r="E7" s="9" t="n">
        <v>0.42</v>
      </c>
      <c r="F7" s="10" t="n">
        <f aca="false">ROUND(D7*(1-E7),2)</f>
        <v>740.11</v>
      </c>
      <c r="G7" s="10" t="n">
        <f aca="false">C7*D7</f>
        <v>293493.8</v>
      </c>
      <c r="H7" s="10" t="n">
        <f aca="false">G7-I7</f>
        <v>123268.5</v>
      </c>
      <c r="I7" s="10" t="n">
        <f aca="false">C7*F7</f>
        <v>170225.3</v>
      </c>
      <c r="J7" s="7"/>
      <c r="K7" s="11" t="str">
        <f aca="false">IF(J7&gt;0,C7/J7,"")</f>
        <v/>
      </c>
    </row>
    <row r="8" customFormat="false" ht="15" hidden="false" customHeight="false" outlineLevel="0" collapsed="false">
      <c r="A8" s="6" t="s">
        <v>16</v>
      </c>
      <c r="B8" s="6" t="s">
        <v>15</v>
      </c>
      <c r="C8" s="7" t="n">
        <v>745</v>
      </c>
      <c r="D8" s="8" t="n">
        <v>5058.34</v>
      </c>
      <c r="E8" s="9" t="n">
        <v>0.45</v>
      </c>
      <c r="F8" s="10" t="n">
        <f aca="false">ROUND(D8*(1-E8),2)</f>
        <v>2782.09</v>
      </c>
      <c r="G8" s="10" t="n">
        <f aca="false">C8*D8</f>
        <v>3768463.3</v>
      </c>
      <c r="H8" s="10" t="n">
        <f aca="false">G8-I8</f>
        <v>1695806.25</v>
      </c>
      <c r="I8" s="10" t="n">
        <f aca="false">C8*F8</f>
        <v>2072657.05</v>
      </c>
      <c r="J8" s="7" t="n">
        <v>48</v>
      </c>
      <c r="K8" s="11" t="n">
        <f aca="false">IF(J8&gt;0,C8/J8,"")</f>
        <v>15.5208333333333</v>
      </c>
    </row>
    <row r="9" customFormat="false" ht="15" hidden="false" customHeight="false" outlineLevel="0" collapsed="false">
      <c r="A9" s="2"/>
      <c r="B9" s="2"/>
      <c r="C9" s="2"/>
      <c r="D9" s="12"/>
      <c r="E9" s="2"/>
      <c r="F9" s="12"/>
      <c r="G9" s="12"/>
      <c r="H9" s="12"/>
      <c r="I9" s="12"/>
      <c r="J9" s="2"/>
      <c r="K9" s="2"/>
    </row>
    <row r="10" customFormat="false" ht="15" hidden="false" customHeight="false" outlineLevel="0" collapsed="false">
      <c r="A10" s="2"/>
      <c r="B10" s="2"/>
      <c r="C10" s="2"/>
      <c r="D10" s="12"/>
      <c r="E10" s="2"/>
      <c r="F10" s="12"/>
      <c r="G10" s="12" t="n">
        <f aca="false">SUM(G7:G8)</f>
        <v>4061957.1</v>
      </c>
      <c r="H10" s="13" t="s">
        <v>17</v>
      </c>
      <c r="I10" s="13" t="n">
        <f aca="false">SUM(I7:I8)</f>
        <v>2242882.35</v>
      </c>
      <c r="J10" s="2"/>
      <c r="K10" s="2"/>
    </row>
    <row r="11" customFormat="false" ht="15" hidden="false" customHeight="false" outlineLevel="0" collapsed="false">
      <c r="A11" s="2"/>
      <c r="B11" s="2"/>
      <c r="C11" s="2"/>
      <c r="D11" s="12"/>
      <c r="E11" s="2"/>
      <c r="F11" s="12"/>
      <c r="G11" s="12"/>
      <c r="H11" s="13" t="s">
        <v>2</v>
      </c>
      <c r="I11" s="13" t="n">
        <f aca="false">I10*B4</f>
        <v>358861.176</v>
      </c>
      <c r="J11" s="2"/>
      <c r="K11" s="2"/>
    </row>
    <row r="12" customFormat="false" ht="15" hidden="false" customHeight="false" outlineLevel="0" collapsed="false">
      <c r="A12" s="2"/>
      <c r="B12" s="2"/>
      <c r="C12" s="2"/>
      <c r="D12" s="12"/>
      <c r="E12" s="2"/>
      <c r="F12" s="12"/>
      <c r="G12" s="12"/>
      <c r="H12" s="13" t="s">
        <v>18</v>
      </c>
      <c r="I12" s="13" t="n">
        <f aca="false">I10+I11</f>
        <v>2601743.526</v>
      </c>
      <c r="J12" s="2"/>
      <c r="K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customFormat="false" ht="15" hidden="false" customHeight="false" outlineLevel="0" collapsed="false">
      <c r="A14" s="2" t="s">
        <v>19</v>
      </c>
      <c r="B14" s="14" t="n">
        <v>4386943.66</v>
      </c>
      <c r="C14" s="2"/>
      <c r="D14" s="2"/>
      <c r="E14" s="2"/>
      <c r="F14" s="2"/>
      <c r="G14" s="2"/>
      <c r="H14" s="2"/>
      <c r="I14" s="2"/>
      <c r="J14" s="2"/>
      <c r="K14" s="2"/>
    </row>
    <row r="15" customFormat="false" ht="15" hidden="false" customHeight="false" outlineLevel="0" collapsed="false">
      <c r="A15" s="2" t="s">
        <v>20</v>
      </c>
      <c r="B15" s="12" t="n">
        <f aca="false">B14-I12</f>
        <v>1785200.134</v>
      </c>
      <c r="C15" s="2"/>
      <c r="D15" s="2"/>
      <c r="E15" s="2"/>
      <c r="F15" s="2"/>
      <c r="G15" s="2"/>
      <c r="H15" s="2"/>
      <c r="I15" s="2"/>
      <c r="J15" s="2"/>
      <c r="K15" s="2"/>
    </row>
    <row r="16" customFormat="false" ht="15" hidden="false" customHeight="false" outlineLevel="0" collapsed="false">
      <c r="A16" s="2" t="s">
        <v>21</v>
      </c>
      <c r="B16" s="15" t="n">
        <f aca="false">IF(G10&gt;0,1-I10/G10,0)</f>
        <v>0.447832093056817</v>
      </c>
      <c r="C16" s="2"/>
      <c r="D16" s="2"/>
      <c r="E16" s="2"/>
      <c r="F16" s="2"/>
      <c r="G16" s="2"/>
      <c r="H16" s="2"/>
      <c r="I16" s="2"/>
      <c r="J16" s="2"/>
      <c r="K1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2026-10-12T18:22:28Z</dcterms:created>
  <dc:creator>openpyxl</dc:creator>
  <dc:description/>
  <dc:language>en-US</dc:language>
  <cp:lastModifiedBy/>
  <dcterms:modified xsi:type="dcterms:W3CDTF">2026-10-12T18:22:28Z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